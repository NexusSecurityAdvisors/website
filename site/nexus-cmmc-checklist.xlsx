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MC - NIST 800-171" sheetId="1" state="visible" r:id="rId1"/>
  </sheets>
  <definedNames>
    <definedName name="_xlnm._FilterDatabase" localSheetId="0" hidden="1">'CMMC - NIST 800-171'!$A$6:$K$26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3F5F7"/>
      <sz val="15"/>
    </font>
    <font>
      <color rgb="002B9BF4"/>
      <sz val="10"/>
    </font>
    <font>
      <i val="1"/>
      <color rgb="00A7AEB8"/>
      <sz val="8"/>
    </font>
    <font>
      <b val="1"/>
    </font>
    <font>
      <b val="1"/>
      <color rgb="001A6FD1"/>
      <sz val="13"/>
    </font>
    <font>
      <b val="1"/>
      <color rgb="00FFFFFF"/>
    </font>
    <font>
      <b val="1"/>
      <color rgb="00C2384B"/>
    </font>
  </fonts>
  <fills count="4">
    <fill>
      <patternFill/>
    </fill>
    <fill>
      <patternFill patternType="gray125"/>
    </fill>
    <fill>
      <patternFill patternType="solid">
        <fgColor rgb="000E131A"/>
      </patternFill>
    </fill>
    <fill>
      <patternFill patternType="solid">
        <fgColor rgb="00152A45"/>
      </patternFill>
    </fill>
  </fills>
  <borders count="2">
    <border>
      <left/>
      <right/>
      <top/>
      <bottom/>
      <diagonal/>
    </border>
    <border>
      <bottom style="thin">
        <color rgb="00C9CC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9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7F2E6"/>
        </patternFill>
      </fill>
    </dxf>
    <dxf>
      <fill>
        <patternFill patternType="solid">
          <fgColor rgb="00FDF1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619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55" customWidth="1" min="4" max="4"/>
    <col width="26" customWidth="1" min="5" max="5"/>
    <col width="9" customWidth="1" min="6" max="6"/>
    <col width="13" customWidth="1" min="7" max="7"/>
    <col width="16" customWidth="1" min="8" max="8"/>
    <col width="12" customWidth="1" min="9" max="9"/>
    <col width="36" customWidth="1" min="10" max="10"/>
    <col width="30" customWidth="1" min="11" max="11"/>
  </cols>
  <sheetData>
    <row r="1" ht="30" customHeight="1">
      <c r="A1" s="1" t="inlineStr">
        <is>
          <t>CMMC / NIST SP 800-171 Readiness Self-Check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Defense and aerospace suppliers handling Controlled Unclassified Information (CUI)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Readiness self-check for general guidance only. Not legal advice and not a formal assessment or certification. Confirm requirements against official sources.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A5" s="5" t="inlineStr">
        <is>
          <t>Progress</t>
        </is>
      </c>
      <c r="B5" s="6">
        <f>COUNTIF(G7:G26,"Done")/MAX(1,COUNTA(D7:D26)-COUNTIF(G7:G26,"N/A"))</f>
        <v/>
      </c>
      <c r="C5">
        <f>COUNTIF(G7:G26,"Done")&amp;" done / "&amp;COUNTIF(G7:G26,"In progress")&amp;" in progress / "&amp;COUNTIF(G7:G26,"Not started")&amp;" not started"</f>
        <v/>
      </c>
    </row>
    <row r="6">
      <c r="A6" s="7" t="inlineStr">
        <is>
          <t>ID</t>
        </is>
      </c>
      <c r="B6" s="7" t="inlineStr">
        <is>
          <t>Framework</t>
        </is>
      </c>
      <c r="C6" s="7" t="inlineStr">
        <is>
          <t>Section</t>
        </is>
      </c>
      <c r="D6" s="7" t="inlineStr">
        <is>
          <t>Requirement</t>
        </is>
      </c>
      <c r="E6" s="7" t="inlineStr">
        <is>
          <t>Reference</t>
        </is>
      </c>
      <c r="F6" s="7" t="inlineStr">
        <is>
          <t>Priority</t>
        </is>
      </c>
      <c r="G6" s="7" t="inlineStr">
        <is>
          <t>Status</t>
        </is>
      </c>
      <c r="H6" s="7" t="inlineStr">
        <is>
          <t>Owner</t>
        </is>
      </c>
      <c r="I6" s="7" t="inlineStr">
        <is>
          <t>Due Date</t>
        </is>
      </c>
      <c r="J6" s="7" t="inlineStr">
        <is>
          <t>Evidence</t>
        </is>
      </c>
      <c r="K6" s="7" t="inlineStr">
        <is>
          <t>Notes</t>
        </is>
      </c>
    </row>
    <row r="7">
      <c r="A7" s="8" t="inlineStr">
        <is>
          <t>CMMC-01</t>
        </is>
      </c>
      <c r="B7" s="8" t="inlineStr">
        <is>
          <t>CMMC / NIST 800-171</t>
        </is>
      </c>
      <c r="C7" s="8" t="inlineStr">
        <is>
          <t>Scope &amp; Program</t>
        </is>
      </c>
      <c r="D7" s="8" t="inlineStr">
        <is>
          <t>Identify where CUI is received, stored, processed, and transmitted, and document data flows and the assessment boundary</t>
        </is>
      </c>
      <c r="E7" s="8" t="inlineStr">
        <is>
          <t>CMMC scoping guidance</t>
        </is>
      </c>
      <c r="F7" s="9" t="inlineStr">
        <is>
          <t>High</t>
        </is>
      </c>
      <c r="G7" s="8" t="inlineStr">
        <is>
          <t>Not started</t>
        </is>
      </c>
      <c r="H7" s="8" t="inlineStr"/>
      <c r="I7" s="10" t="inlineStr"/>
      <c r="J7" s="8" t="inlineStr">
        <is>
          <t>CUI data-flow diagram; asset inventory with CUI/security-protection/out-of-scope tags</t>
        </is>
      </c>
      <c r="K7" s="8" t="inlineStr"/>
    </row>
    <row r="8">
      <c r="A8" s="8" t="inlineStr">
        <is>
          <t>CMMC-02</t>
        </is>
      </c>
      <c r="B8" s="8" t="inlineStr">
        <is>
          <t>CMMC / NIST 800-171</t>
        </is>
      </c>
      <c r="C8" s="8" t="inlineStr">
        <is>
          <t>Scope &amp; Program</t>
        </is>
      </c>
      <c r="D8" s="8" t="inlineStr">
        <is>
          <t>Write and maintain a System Security Plan (SSP) describing how each requirement is met</t>
        </is>
      </c>
      <c r="E8" s="8" t="inlineStr">
        <is>
          <t>NIST 800-171 3.12.4</t>
        </is>
      </c>
      <c r="F8" s="9" t="inlineStr">
        <is>
          <t>High</t>
        </is>
      </c>
      <c r="G8" s="8" t="inlineStr">
        <is>
          <t>Not started</t>
        </is>
      </c>
      <c r="H8" s="8" t="inlineStr"/>
      <c r="I8" s="10" t="inlineStr"/>
      <c r="J8" s="8" t="inlineStr">
        <is>
          <t>Current, approved SSP</t>
        </is>
      </c>
      <c r="K8" s="8" t="inlineStr"/>
    </row>
    <row r="9">
      <c r="A9" s="8" t="inlineStr">
        <is>
          <t>CMMC-03</t>
        </is>
      </c>
      <c r="B9" s="8" t="inlineStr">
        <is>
          <t>CMMC / NIST 800-171</t>
        </is>
      </c>
      <c r="C9" s="8" t="inlineStr">
        <is>
          <t>Scope &amp; Program</t>
        </is>
      </c>
      <c r="D9" s="8" t="inlineStr">
        <is>
          <t>Track open gaps in a Plan of Action &amp; Milestones (POA&amp;M) with owners and dates</t>
        </is>
      </c>
      <c r="E9" s="8" t="inlineStr">
        <is>
          <t>NIST 800-171 3.12.2</t>
        </is>
      </c>
      <c r="F9" s="9" t="inlineStr">
        <is>
          <t>High</t>
        </is>
      </c>
      <c r="G9" s="8" t="inlineStr">
        <is>
          <t>Not started</t>
        </is>
      </c>
      <c r="H9" s="8" t="inlineStr"/>
      <c r="I9" s="10" t="inlineStr"/>
      <c r="J9" s="8" t="inlineStr">
        <is>
          <t>POA&amp;M with owners, due dates, status</t>
        </is>
      </c>
      <c r="K9" s="8" t="inlineStr"/>
    </row>
    <row r="10">
      <c r="A10" s="8" t="inlineStr">
        <is>
          <t>CMMC-04</t>
        </is>
      </c>
      <c r="B10" s="8" t="inlineStr">
        <is>
          <t>CMMC / NIST 800-171</t>
        </is>
      </c>
      <c r="C10" s="8" t="inlineStr">
        <is>
          <t>Scope &amp; Program</t>
        </is>
      </c>
      <c r="D10" s="8" t="inlineStr">
        <is>
          <t>Calculate your NIST SP 800-171 score and post it to SPRS; complete the annual senior-official affirmation</t>
        </is>
      </c>
      <c r="E10" s="8" t="inlineStr">
        <is>
          <t>DFARS 252.204-7019/7020; CMMC affirmation</t>
        </is>
      </c>
      <c r="F10" s="9" t="inlineStr">
        <is>
          <t>High</t>
        </is>
      </c>
      <c r="G10" s="8" t="inlineStr">
        <is>
          <t>Not started</t>
        </is>
      </c>
      <c r="H10" s="8" t="inlineStr"/>
      <c r="I10" s="10" t="inlineStr"/>
      <c r="J10" s="8" t="inlineStr">
        <is>
          <t>SPRS confirmation; signed affirmation</t>
        </is>
      </c>
      <c r="K10" s="8" t="inlineStr"/>
    </row>
    <row r="11">
      <c r="A11" s="8" t="inlineStr">
        <is>
          <t>CMMC-05</t>
        </is>
      </c>
      <c r="B11" s="8" t="inlineStr">
        <is>
          <t>CMMC / NIST 800-171</t>
        </is>
      </c>
      <c r="C11" s="8" t="inlineStr">
        <is>
          <t>Scope &amp; Program</t>
        </is>
      </c>
      <c r="D11" s="8" t="inlineStr">
        <is>
          <t>Confirm cloud services handling CUI meet FedRAMP Moderate (or equivalent) and flow down DFARS 7012</t>
        </is>
      </c>
      <c r="E11" s="8" t="inlineStr">
        <is>
          <t>DFARS 252.204-7012(b)(2)(ii)(D)</t>
        </is>
      </c>
      <c r="F11" s="9" t="inlineStr">
        <is>
          <t>High</t>
        </is>
      </c>
      <c r="G11" s="8" t="inlineStr">
        <is>
          <t>Not started</t>
        </is>
      </c>
      <c r="H11" s="8" t="inlineStr"/>
      <c r="I11" s="10" t="inlineStr"/>
      <c r="J11" s="8" t="inlineStr">
        <is>
          <t>Provider FedRAMP package or equivalency letter; subcontract clauses</t>
        </is>
      </c>
      <c r="K11" s="8" t="inlineStr"/>
    </row>
    <row r="12">
      <c r="A12" s="8" t="inlineStr">
        <is>
          <t>CMMC-06</t>
        </is>
      </c>
      <c r="B12" s="8" t="inlineStr">
        <is>
          <t>CMMC / NIST 800-171</t>
        </is>
      </c>
      <c r="C12" s="8" t="inlineStr">
        <is>
          <t>Access Control</t>
        </is>
      </c>
      <c r="D12" s="8" t="inlineStr">
        <is>
          <t>Limit system access to authorized users, processes, and devices</t>
        </is>
      </c>
      <c r="E12" s="8" t="inlineStr">
        <is>
          <t>NIST 800-171 3.1.1</t>
        </is>
      </c>
      <c r="F12" s="9" t="inlineStr">
        <is>
          <t>High</t>
        </is>
      </c>
      <c r="G12" s="8" t="inlineStr">
        <is>
          <t>Not started</t>
        </is>
      </c>
      <c r="H12" s="8" t="inlineStr"/>
      <c r="I12" s="10" t="inlineStr"/>
      <c r="J12" s="8" t="inlineStr">
        <is>
          <t>Access control policy; user access reviews</t>
        </is>
      </c>
      <c r="K12" s="8" t="inlineStr"/>
    </row>
    <row r="13">
      <c r="A13" s="8" t="inlineStr">
        <is>
          <t>CMMC-07</t>
        </is>
      </c>
      <c r="B13" s="8" t="inlineStr">
        <is>
          <t>CMMC / NIST 800-171</t>
        </is>
      </c>
      <c r="C13" s="8" t="inlineStr">
        <is>
          <t>Access Control</t>
        </is>
      </c>
      <c r="D13" s="8" t="inlineStr">
        <is>
          <t>Monitor and control remote access sessions</t>
        </is>
      </c>
      <c r="E13" s="8" t="inlineStr">
        <is>
          <t>NIST 800-171 3.1.12</t>
        </is>
      </c>
      <c r="F13" s="8" t="inlineStr">
        <is>
          <t>Medium</t>
        </is>
      </c>
      <c r="G13" s="8" t="inlineStr">
        <is>
          <t>Not started</t>
        </is>
      </c>
      <c r="H13" s="8" t="inlineStr"/>
      <c r="I13" s="10" t="inlineStr"/>
      <c r="J13" s="8" t="inlineStr">
        <is>
          <t>VPN/ZTNA configuration; remote access logs</t>
        </is>
      </c>
      <c r="K13" s="8" t="inlineStr"/>
    </row>
    <row r="14">
      <c r="A14" s="8" t="inlineStr">
        <is>
          <t>CMMC-08</t>
        </is>
      </c>
      <c r="B14" s="8" t="inlineStr">
        <is>
          <t>CMMC / NIST 800-171</t>
        </is>
      </c>
      <c r="C14" s="8" t="inlineStr">
        <is>
          <t>Identification &amp; Authentication</t>
        </is>
      </c>
      <c r="D14" s="8" t="inlineStr">
        <is>
          <t>Use multifactor authentication for privileged accounts and for network access to non-privileged accounts</t>
        </is>
      </c>
      <c r="E14" s="8" t="inlineStr">
        <is>
          <t>NIST 800-171 3.5.3</t>
        </is>
      </c>
      <c r="F14" s="9" t="inlineStr">
        <is>
          <t>High</t>
        </is>
      </c>
      <c r="G14" s="8" t="inlineStr">
        <is>
          <t>Not started</t>
        </is>
      </c>
      <c r="H14" s="8" t="inlineStr"/>
      <c r="I14" s="10" t="inlineStr"/>
      <c r="J14" s="8" t="inlineStr">
        <is>
          <t>MFA configuration screenshots; exception list</t>
        </is>
      </c>
      <c r="K14" s="8" t="inlineStr"/>
    </row>
    <row r="15">
      <c r="A15" s="8" t="inlineStr">
        <is>
          <t>CMMC-09</t>
        </is>
      </c>
      <c r="B15" s="8" t="inlineStr">
        <is>
          <t>CMMC / NIST 800-171</t>
        </is>
      </c>
      <c r="C15" s="8" t="inlineStr">
        <is>
          <t>Awareness &amp; Training</t>
        </is>
      </c>
      <c r="D15" s="8" t="inlineStr">
        <is>
          <t>Provide security awareness training, including insider-threat awareness</t>
        </is>
      </c>
      <c r="E15" s="8" t="inlineStr">
        <is>
          <t>NIST 800-171 3.2.1 / 3.2.3</t>
        </is>
      </c>
      <c r="F15" s="8" t="inlineStr">
        <is>
          <t>Medium</t>
        </is>
      </c>
      <c r="G15" s="8" t="inlineStr">
        <is>
          <t>Not started</t>
        </is>
      </c>
      <c r="H15" s="8" t="inlineStr"/>
      <c r="I15" s="10" t="inlineStr"/>
      <c r="J15" s="8" t="inlineStr">
        <is>
          <t>Training records and completion rates</t>
        </is>
      </c>
      <c r="K15" s="8" t="inlineStr"/>
    </row>
    <row r="16">
      <c r="A16" s="8" t="inlineStr">
        <is>
          <t>CMMC-10</t>
        </is>
      </c>
      <c r="B16" s="8" t="inlineStr">
        <is>
          <t>CMMC / NIST 800-171</t>
        </is>
      </c>
      <c r="C16" s="8" t="inlineStr">
        <is>
          <t>Audit &amp; Accountability</t>
        </is>
      </c>
      <c r="D16" s="8" t="inlineStr">
        <is>
          <t>Create and retain system audit logs sufficient to investigate unlawful or unauthorized activity</t>
        </is>
      </c>
      <c r="E16" s="8" t="inlineStr">
        <is>
          <t>NIST 800-171 3.3.1</t>
        </is>
      </c>
      <c r="F16" s="9" t="inlineStr">
        <is>
          <t>High</t>
        </is>
      </c>
      <c r="G16" s="8" t="inlineStr">
        <is>
          <t>Not started</t>
        </is>
      </c>
      <c r="H16" s="8" t="inlineStr"/>
      <c r="I16" s="10" t="inlineStr"/>
      <c r="J16" s="8" t="inlineStr">
        <is>
          <t>Log sources list; retention settings; SIEM screenshots</t>
        </is>
      </c>
      <c r="K16" s="8" t="inlineStr"/>
    </row>
    <row r="17">
      <c r="A17" s="8" t="inlineStr">
        <is>
          <t>CMMC-11</t>
        </is>
      </c>
      <c r="B17" s="8" t="inlineStr">
        <is>
          <t>CMMC / NIST 800-171</t>
        </is>
      </c>
      <c r="C17" s="8" t="inlineStr">
        <is>
          <t>Configuration Management</t>
        </is>
      </c>
      <c r="D17" s="8" t="inlineStr">
        <is>
          <t>Establish baseline configurations and inventories of systems, and enforce security settings</t>
        </is>
      </c>
      <c r="E17" s="8" t="inlineStr">
        <is>
          <t>NIST 800-171 3.4.1 / 3.4.2</t>
        </is>
      </c>
      <c r="F17" s="9" t="inlineStr">
        <is>
          <t>High</t>
        </is>
      </c>
      <c r="G17" s="8" t="inlineStr">
        <is>
          <t>Not started</t>
        </is>
      </c>
      <c r="H17" s="8" t="inlineStr"/>
      <c r="I17" s="10" t="inlineStr"/>
      <c r="J17" s="8" t="inlineStr">
        <is>
          <t>Hardening baselines (e.g., CIS Benchmarks); inventory</t>
        </is>
      </c>
      <c r="K17" s="8" t="inlineStr"/>
    </row>
    <row r="18">
      <c r="A18" s="8" t="inlineStr">
        <is>
          <t>CMMC-12</t>
        </is>
      </c>
      <c r="B18" s="8" t="inlineStr">
        <is>
          <t>CMMC / NIST 800-171</t>
        </is>
      </c>
      <c r="C18" s="8" t="inlineStr">
        <is>
          <t>Incident Response</t>
        </is>
      </c>
      <c r="D18" s="8" t="inlineStr">
        <is>
          <t>Maintain an incident-handling capability, and report cyber incidents to DoD within 72 hours</t>
        </is>
      </c>
      <c r="E18" s="8" t="inlineStr">
        <is>
          <t>NIST 800-171 3.6.1; DFARS 252.204-7012(c)</t>
        </is>
      </c>
      <c r="F18" s="9" t="inlineStr">
        <is>
          <t>High</t>
        </is>
      </c>
      <c r="G18" s="8" t="inlineStr">
        <is>
          <t>Not started</t>
        </is>
      </c>
      <c r="H18" s="8" t="inlineStr"/>
      <c r="I18" s="10" t="inlineStr"/>
      <c r="J18" s="8" t="inlineStr">
        <is>
          <t>IR plan; DIBNet access; tabletop results</t>
        </is>
      </c>
      <c r="K18" s="8" t="inlineStr"/>
    </row>
    <row r="19">
      <c r="A19" s="8" t="inlineStr">
        <is>
          <t>CMMC-13</t>
        </is>
      </c>
      <c r="B19" s="8" t="inlineStr">
        <is>
          <t>CMMC / NIST 800-171</t>
        </is>
      </c>
      <c r="C19" s="8" t="inlineStr">
        <is>
          <t>Maintenance</t>
        </is>
      </c>
      <c r="D19" s="8" t="inlineStr">
        <is>
          <t>Require MFA for nonlocal (remote) maintenance sessions</t>
        </is>
      </c>
      <c r="E19" s="8" t="inlineStr">
        <is>
          <t>NIST 800-171 3.7.5</t>
        </is>
      </c>
      <c r="F19" s="8" t="inlineStr">
        <is>
          <t>Medium</t>
        </is>
      </c>
      <c r="G19" s="8" t="inlineStr">
        <is>
          <t>Not started</t>
        </is>
      </c>
      <c r="H19" s="8" t="inlineStr"/>
      <c r="I19" s="10" t="inlineStr"/>
      <c r="J19" s="8" t="inlineStr">
        <is>
          <t>Remote maintenance procedure; MFA evidence</t>
        </is>
      </c>
      <c r="K19" s="8" t="inlineStr"/>
    </row>
    <row r="20">
      <c r="A20" s="8" t="inlineStr">
        <is>
          <t>CMMC-14</t>
        </is>
      </c>
      <c r="B20" s="8" t="inlineStr">
        <is>
          <t>CMMC / NIST 800-171</t>
        </is>
      </c>
      <c r="C20" s="8" t="inlineStr">
        <is>
          <t>Media Protection</t>
        </is>
      </c>
      <c r="D20" s="8" t="inlineStr">
        <is>
          <t>Sanitize or destroy media containing CUI before disposal or reuse</t>
        </is>
      </c>
      <c r="E20" s="8" t="inlineStr">
        <is>
          <t>NIST 800-171 3.8.3</t>
        </is>
      </c>
      <c r="F20" s="8" t="inlineStr">
        <is>
          <t>Medium</t>
        </is>
      </c>
      <c r="G20" s="8" t="inlineStr">
        <is>
          <t>Not started</t>
        </is>
      </c>
      <c r="H20" s="8" t="inlineStr"/>
      <c r="I20" s="10" t="inlineStr"/>
      <c r="J20" s="8" t="inlineStr">
        <is>
          <t>Sanitization records / certificates of destruction</t>
        </is>
      </c>
      <c r="K20" s="8" t="inlineStr"/>
    </row>
    <row r="21">
      <c r="A21" s="8" t="inlineStr">
        <is>
          <t>CMMC-15</t>
        </is>
      </c>
      <c r="B21" s="8" t="inlineStr">
        <is>
          <t>CMMC / NIST 800-171</t>
        </is>
      </c>
      <c r="C21" s="8" t="inlineStr">
        <is>
          <t>Personnel Security</t>
        </is>
      </c>
      <c r="D21" s="8" t="inlineStr">
        <is>
          <t>Protect CUI during personnel actions such as terminations and transfers</t>
        </is>
      </c>
      <c r="E21" s="8" t="inlineStr">
        <is>
          <t>NIST 800-171 3.9.2</t>
        </is>
      </c>
      <c r="F21" s="8" t="inlineStr">
        <is>
          <t>Medium</t>
        </is>
      </c>
      <c r="G21" s="8" t="inlineStr">
        <is>
          <t>Not started</t>
        </is>
      </c>
      <c r="H21" s="8" t="inlineStr"/>
      <c r="I21" s="10" t="inlineStr"/>
      <c r="J21" s="8" t="inlineStr">
        <is>
          <t>Off-boarding checklist; access revocation logs</t>
        </is>
      </c>
      <c r="K21" s="8" t="inlineStr"/>
    </row>
    <row r="22">
      <c r="A22" s="8" t="inlineStr">
        <is>
          <t>CMMC-16</t>
        </is>
      </c>
      <c r="B22" s="8" t="inlineStr">
        <is>
          <t>CMMC / NIST 800-171</t>
        </is>
      </c>
      <c r="C22" s="8" t="inlineStr">
        <is>
          <t>Physical Protection</t>
        </is>
      </c>
      <c r="D22" s="8" t="inlineStr">
        <is>
          <t>Limit physical access to systems and equipment to authorized individuals</t>
        </is>
      </c>
      <c r="E22" s="8" t="inlineStr">
        <is>
          <t>NIST 800-171 3.10.1</t>
        </is>
      </c>
      <c r="F22" s="8" t="inlineStr">
        <is>
          <t>Medium</t>
        </is>
      </c>
      <c r="G22" s="8" t="inlineStr">
        <is>
          <t>Not started</t>
        </is>
      </c>
      <c r="H22" s="8" t="inlineStr"/>
      <c r="I22" s="10" t="inlineStr"/>
      <c r="J22" s="8" t="inlineStr">
        <is>
          <t>Badge/visitor logs; facility access list</t>
        </is>
      </c>
      <c r="K22" s="8" t="inlineStr"/>
    </row>
    <row r="23">
      <c r="A23" s="8" t="inlineStr">
        <is>
          <t>CMMC-17</t>
        </is>
      </c>
      <c r="B23" s="8" t="inlineStr">
        <is>
          <t>CMMC / NIST 800-171</t>
        </is>
      </c>
      <c r="C23" s="8" t="inlineStr">
        <is>
          <t>Risk Assessment</t>
        </is>
      </c>
      <c r="D23" s="8" t="inlineStr">
        <is>
          <t>Scan for vulnerabilities periodically and when new vulnerabilities are identified</t>
        </is>
      </c>
      <c r="E23" s="8" t="inlineStr">
        <is>
          <t>NIST 800-171 3.11.2</t>
        </is>
      </c>
      <c r="F23" s="9" t="inlineStr">
        <is>
          <t>High</t>
        </is>
      </c>
      <c r="G23" s="8" t="inlineStr">
        <is>
          <t>Not started</t>
        </is>
      </c>
      <c r="H23" s="8" t="inlineStr"/>
      <c r="I23" s="10" t="inlineStr"/>
      <c r="J23" s="8" t="inlineStr">
        <is>
          <t>Scan reports; scan schedule</t>
        </is>
      </c>
      <c r="K23" s="8" t="inlineStr"/>
    </row>
    <row r="24">
      <c r="A24" s="8" t="inlineStr">
        <is>
          <t>CMMC-18</t>
        </is>
      </c>
      <c r="B24" s="8" t="inlineStr">
        <is>
          <t>CMMC / NIST 800-171</t>
        </is>
      </c>
      <c r="C24" s="8" t="inlineStr">
        <is>
          <t>System &amp; Communications Protection</t>
        </is>
      </c>
      <c r="D24" s="8" t="inlineStr">
        <is>
          <t>Monitor and control communications at external and key internal boundaries</t>
        </is>
      </c>
      <c r="E24" s="8" t="inlineStr">
        <is>
          <t>NIST 800-171 3.13.1</t>
        </is>
      </c>
      <c r="F24" s="9" t="inlineStr">
        <is>
          <t>High</t>
        </is>
      </c>
      <c r="G24" s="8" t="inlineStr">
        <is>
          <t>Not started</t>
        </is>
      </c>
      <c r="H24" s="8" t="inlineStr"/>
      <c r="I24" s="10" t="inlineStr"/>
      <c r="J24" s="8" t="inlineStr">
        <is>
          <t>Firewall rules; network diagram</t>
        </is>
      </c>
      <c r="K24" s="8" t="inlineStr"/>
    </row>
    <row r="25">
      <c r="A25" s="8" t="inlineStr">
        <is>
          <t>CMMC-19</t>
        </is>
      </c>
      <c r="B25" s="8" t="inlineStr">
        <is>
          <t>CMMC / NIST 800-171</t>
        </is>
      </c>
      <c r="C25" s="8" t="inlineStr">
        <is>
          <t>System &amp; Communications Protection</t>
        </is>
      </c>
      <c r="D25" s="8" t="inlineStr">
        <is>
          <t>Use FIPS-validated cryptography to protect the confidentiality of CUI</t>
        </is>
      </c>
      <c r="E25" s="8" t="inlineStr">
        <is>
          <t>NIST 800-171 3.13.11</t>
        </is>
      </c>
      <c r="F25" s="9" t="inlineStr">
        <is>
          <t>High</t>
        </is>
      </c>
      <c r="G25" s="8" t="inlineStr">
        <is>
          <t>Not started</t>
        </is>
      </c>
      <c r="H25" s="8" t="inlineStr"/>
      <c r="I25" s="10" t="inlineStr"/>
      <c r="J25" s="8" t="inlineStr">
        <is>
          <t>FIPS 140 certificate numbers for encryption modules</t>
        </is>
      </c>
      <c r="K25" s="8" t="inlineStr"/>
    </row>
    <row r="26">
      <c r="A26" s="8" t="inlineStr">
        <is>
          <t>CMMC-20</t>
        </is>
      </c>
      <c r="B26" s="8" t="inlineStr">
        <is>
          <t>CMMC / NIST 800-171</t>
        </is>
      </c>
      <c r="C26" s="8" t="inlineStr">
        <is>
          <t>System &amp; Information Integrity</t>
        </is>
      </c>
      <c r="D26" s="8" t="inlineStr">
        <is>
          <t>Identify, report, and correct system flaws in a timely manner</t>
        </is>
      </c>
      <c r="E26" s="8" t="inlineStr">
        <is>
          <t>NIST 800-171 3.14.1</t>
        </is>
      </c>
      <c r="F26" s="9" t="inlineStr">
        <is>
          <t>High</t>
        </is>
      </c>
      <c r="G26" s="8" t="inlineStr">
        <is>
          <t>Not started</t>
        </is>
      </c>
      <c r="H26" s="8" t="inlineStr"/>
      <c r="I26" s="10" t="inlineStr"/>
      <c r="J26" s="8" t="inlineStr">
        <is>
          <t>Patch SLAs; patch compliance reports</t>
        </is>
      </c>
      <c r="K26" s="8" t="inlineStr"/>
    </row>
  </sheetData>
  <autoFilter ref="A6:K26"/>
  <conditionalFormatting sqref="G7:G26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1">
    <dataValidation sqref="G7:G26" showDropDown="0" showInputMessage="0" showErrorMessage="0" allowBlank="0" type="list">
      <formula1>"Not started,In progress,Done,N/A"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2026-10-23T06:17:20Z</dcterms:created>
  <dcterms:modified xmlns:dcterms="http://purl.org/dc/terms/" xmlns:xsi="http://www.w3.org/2001/XMLSchema-instance" xsi:type="dcterms:W3CDTF">2026-10-23T06:17:20Z</dcterms:modified>
</cp:coreProperties>
</file>